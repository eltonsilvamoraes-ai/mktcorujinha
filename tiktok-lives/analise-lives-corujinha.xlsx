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Li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R$ #,##0.00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color rgb="00000000"/>
      <sz val="10"/>
    </font>
    <font>
      <name val="Arial"/>
      <b val="1"/>
      <color rgb="00333333"/>
      <sz val="13"/>
    </font>
    <font>
      <name val="Arial"/>
      <color rgb="00333333"/>
      <sz val="10"/>
    </font>
    <font>
      <name val="Arial"/>
      <b val="1"/>
      <color rgb="00333333"/>
      <sz val="11"/>
    </font>
    <font>
      <name val="Arial"/>
      <color rgb="00333333"/>
      <sz val="9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E2C5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ANÁLISE DE LIVES — A MARCA DA CORUJINHA (TikTok Shop)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• Cada live é uma COLUNA (Live 1, Live 2...). Preencha as células AZUIS com os dados do LIVE Dashboard.</t>
        </is>
      </c>
    </row>
    <row r="5">
      <c r="A5" s="2" t="inlineStr">
        <is>
          <t>• As células PRETAS são calculadas por fórmula (ticket médio, retenção, etc.) — não precisa mexer.</t>
        </is>
      </c>
    </row>
    <row r="6">
      <c r="A6" s="2" t="inlineStr">
        <is>
          <t>• Compare as colunas lado a lado para ver a evolução entre lives.</t>
        </is>
      </c>
    </row>
    <row r="7">
      <c r="A7" s="2" t="inlineStr"/>
    </row>
    <row r="8">
      <c r="A8" s="3" t="inlineStr">
        <is>
          <t>ONDE ACHAR OS DADOS</t>
        </is>
      </c>
    </row>
    <row r="9">
      <c r="A9" s="2" t="inlineStr">
        <is>
          <t>• TikTok Shop → LIVE Dashboard → aba 'Key metrics' (e 'Performance', 'Traffic source').</t>
        </is>
      </c>
    </row>
    <row r="10">
      <c r="A10" s="2" t="inlineStr"/>
    </row>
    <row r="11">
      <c r="A11" s="3" t="inlineStr">
        <is>
          <t>AS 3 MÉTRICAS QUE MAIS IMPORTAM PRA MELHORAR</t>
        </is>
      </c>
    </row>
    <row r="12">
      <c r="A12" s="2" t="inlineStr">
        <is>
          <t>1. RETENÇÃO (duração média de visualização + views&gt;1min): motor do alcance. Hoje é o ponto mais fraco (26s).</t>
        </is>
      </c>
    </row>
    <row r="13">
      <c r="A13" s="2" t="inlineStr">
        <is>
          <t>2. TICKET MÉDIO: subir com combo 3x2 e bundles ao vivo (hoje R$55, site é ~R$168-212).</t>
        </is>
      </c>
    </row>
    <row r="14">
      <c r="A14" s="2" t="inlineStr">
        <is>
          <t>3. ORDER RATE / GMV por espectador: converter melhor quem já está assistindo.</t>
        </is>
      </c>
    </row>
    <row r="15">
      <c r="A15" s="2" t="inlineStr"/>
    </row>
    <row r="16">
      <c r="A16" s="3" t="inlineStr">
        <is>
          <t>OBSERVAÇÃO SOBRE AS SETAS DE QUEDA (-56%, -73%, -47%)</t>
        </is>
      </c>
    </row>
    <row r="17">
      <c r="A17" s="2" t="inlineStr">
        <is>
          <t>O TikTok compara cada métrica com um período anterior. Quedas fortes em GPM, tap-through e share indicam que</t>
        </is>
      </c>
    </row>
    <row r="18">
      <c r="A18" s="2" t="inlineStr">
        <is>
          <t>esta live converteu/engajou menos que a referência. Acompanhar nas próximas lives para ver se é tendência.</t>
        </is>
      </c>
    </row>
    <row r="19">
      <c r="A19" s="2" t="inlineStr"/>
    </row>
    <row r="20">
      <c r="A20" s="4" t="inlineStr">
        <is>
          <t>Fonte: LIVE Dashboard, live de 23/07/2026 (2h09). Dados inseridos manualmente a partir do print.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 ht="24" customHeight="1">
      <c r="A1" s="5" t="inlineStr">
        <is>
          <t>Métrica</t>
        </is>
      </c>
      <c r="B1" s="5" t="inlineStr">
        <is>
          <t>Live 1</t>
        </is>
      </c>
      <c r="C1" s="5" t="inlineStr">
        <is>
          <t>Live 2</t>
        </is>
      </c>
      <c r="D1" s="5" t="inlineStr">
        <is>
          <t>Live 3</t>
        </is>
      </c>
      <c r="E1" s="5" t="inlineStr">
        <is>
          <t>Live 4</t>
        </is>
      </c>
      <c r="F1" s="5" t="inlineStr">
        <is>
          <t>Live 5</t>
        </is>
      </c>
      <c r="G1" s="5" t="inlineStr">
        <is>
          <t>Como ler / meta</t>
        </is>
      </c>
    </row>
    <row r="2">
      <c r="A2" s="6" t="inlineStr">
        <is>
          <t>CONTEXTO</t>
        </is>
      </c>
      <c r="B2" s="7" t="n"/>
      <c r="C2" s="7" t="n"/>
      <c r="D2" s="7" t="n"/>
      <c r="E2" s="7" t="n"/>
      <c r="F2" s="7" t="n"/>
      <c r="G2" s="7" t="n"/>
    </row>
    <row r="3">
      <c r="A3" s="8" t="inlineStr">
        <is>
          <t>Data</t>
        </is>
      </c>
      <c r="B3" s="9" t="inlineStr">
        <is>
          <t>23/07/2026</t>
        </is>
      </c>
      <c r="C3" s="9" t="n"/>
      <c r="D3" s="9" t="n"/>
      <c r="E3" s="9" t="n"/>
      <c r="F3" s="9" t="n"/>
      <c r="G3" s="10" t="inlineStr">
        <is>
          <t>Dia da live</t>
        </is>
      </c>
    </row>
    <row r="4">
      <c r="A4" s="8" t="inlineStr">
        <is>
          <t>Dia da semana</t>
        </is>
      </c>
      <c r="B4" s="9" t="inlineStr">
        <is>
          <t>Quarta</t>
        </is>
      </c>
      <c r="C4" s="9" t="n"/>
      <c r="D4" s="9" t="n"/>
      <c r="E4" s="9" t="n"/>
      <c r="F4" s="9" t="n"/>
      <c r="G4" s="10" t="inlineStr"/>
    </row>
    <row r="5">
      <c r="A5" s="8" t="inlineStr">
        <is>
          <t>Horário início</t>
        </is>
      </c>
      <c r="B5" s="9" t="inlineStr">
        <is>
          <t>21:42</t>
        </is>
      </c>
      <c r="C5" s="9" t="n"/>
      <c r="D5" s="9" t="n"/>
      <c r="E5" s="9" t="n"/>
      <c r="F5" s="9" t="n"/>
      <c r="G5" s="10" t="inlineStr"/>
    </row>
    <row r="6">
      <c r="A6" s="8" t="inlineStr">
        <is>
          <t>Horário fim</t>
        </is>
      </c>
      <c r="B6" s="9" t="inlineStr">
        <is>
          <t>23:52</t>
        </is>
      </c>
      <c r="C6" s="9" t="n"/>
      <c r="D6" s="9" t="n"/>
      <c r="E6" s="9" t="n"/>
      <c r="F6" s="9" t="n"/>
      <c r="G6" s="10" t="inlineStr"/>
    </row>
    <row r="7">
      <c r="A7" s="8" t="inlineStr">
        <is>
          <t>Duração (horas)</t>
        </is>
      </c>
      <c r="B7" s="11" t="n">
        <v>2.15</v>
      </c>
      <c r="C7" s="11" t="n"/>
      <c r="D7" s="11" t="n"/>
      <c r="E7" s="11" t="n"/>
      <c r="F7" s="11" t="n"/>
      <c r="G7" s="10" t="inlineStr">
        <is>
          <t>2h09 = 2,15h</t>
        </is>
      </c>
    </row>
    <row r="8">
      <c r="A8" s="6" t="inlineStr">
        <is>
          <t>VENDA</t>
        </is>
      </c>
      <c r="B8" s="7" t="n"/>
      <c r="C8" s="7" t="n"/>
      <c r="D8" s="7" t="n"/>
      <c r="E8" s="7" t="n"/>
      <c r="F8" s="7" t="n"/>
      <c r="G8" s="7" t="n"/>
    </row>
    <row r="9">
      <c r="A9" s="8" t="inlineStr">
        <is>
          <t>GMV atribuído (R$)</t>
        </is>
      </c>
      <c r="B9" s="12" t="n">
        <v>1384</v>
      </c>
      <c r="C9" s="12" t="n"/>
      <c r="D9" s="12" t="n"/>
      <c r="E9" s="12" t="n"/>
      <c r="F9" s="12" t="n"/>
      <c r="G9" s="10" t="inlineStr">
        <is>
          <t>Faturamento atribuído à live</t>
        </is>
      </c>
    </row>
    <row r="10">
      <c r="A10" s="8" t="inlineStr">
        <is>
          <t>Itens vendidos</t>
        </is>
      </c>
      <c r="B10" s="13" t="n">
        <v>25</v>
      </c>
      <c r="C10" s="13" t="n"/>
      <c r="D10" s="13" t="n"/>
      <c r="E10" s="13" t="n"/>
      <c r="F10" s="13" t="n"/>
      <c r="G10" s="10" t="inlineStr"/>
    </row>
    <row r="11">
      <c r="A11" s="8" t="inlineStr">
        <is>
          <t>Ticket médio (R$)</t>
        </is>
      </c>
      <c r="B11" s="14">
        <f>IF(B9=0,0,B8/B9)</f>
        <v/>
      </c>
      <c r="C11" s="14">
        <f>IF(C9=0,0,C8/C9)</f>
        <v/>
      </c>
      <c r="D11" s="14">
        <f>IF(D9=0,0,D8/D9)</f>
        <v/>
      </c>
      <c r="E11" s="14">
        <f>IF(E9=0,0,E8/E9)</f>
        <v/>
      </c>
      <c r="F11" s="14">
        <f>IF(F9=0,0,F8/F9)</f>
        <v/>
      </c>
      <c r="G11" s="10">
        <f> GMV ÷ itens. Meta: puxar pra cima com combo 3x2</f>
        <v/>
      </c>
    </row>
    <row r="12">
      <c r="A12" s="8" t="inlineStr">
        <is>
          <t>GMV por hora (R$)</t>
        </is>
      </c>
      <c r="B12" s="12" t="n">
        <v>642</v>
      </c>
      <c r="C12" s="12" t="n"/>
      <c r="D12" s="12" t="n"/>
      <c r="E12" s="12" t="n"/>
      <c r="F12" s="12" t="n"/>
      <c r="G12" s="10" t="inlineStr"/>
    </row>
    <row r="13">
      <c r="A13" s="8" t="inlineStr">
        <is>
          <t>GMV por espectador (R$)</t>
        </is>
      </c>
      <c r="B13" s="14">
        <f>IF(B16=0,0,B8/B16)</f>
        <v/>
      </c>
      <c r="C13" s="14">
        <f>IF(C16=0,0,C8/C16)</f>
        <v/>
      </c>
      <c r="D13" s="14">
        <f>IF(D16=0,0,D8/D16)</f>
        <v/>
      </c>
      <c r="E13" s="14">
        <f>IF(E16=0,0,E8/E16)</f>
        <v/>
      </c>
      <c r="F13" s="14">
        <f>IF(F16=0,0,F8/F16)</f>
        <v/>
      </c>
      <c r="G13" s="10">
        <f> GMV ÷ espectadores. Quanto cada viewer rende</f>
        <v/>
      </c>
    </row>
    <row r="14">
      <c r="A14" s="8" t="inlineStr">
        <is>
          <t>Order rate SKU (%)</t>
        </is>
      </c>
      <c r="B14" s="15" t="n">
        <v>0.0067</v>
      </c>
      <c r="C14" s="15" t="n"/>
      <c r="D14" s="15" t="n"/>
      <c r="E14" s="15" t="n"/>
      <c r="F14" s="15" t="n"/>
      <c r="G14" s="10" t="inlineStr">
        <is>
          <t>Pedidos ÷ espectadores. Referência live fria: baixa é normal</t>
        </is>
      </c>
    </row>
    <row r="15">
      <c r="A15" s="6" t="inlineStr">
        <is>
          <t>ALCANCE</t>
        </is>
      </c>
      <c r="B15" s="7" t="n"/>
      <c r="C15" s="7" t="n"/>
      <c r="D15" s="7" t="n"/>
      <c r="E15" s="7" t="n"/>
      <c r="F15" s="7" t="n"/>
      <c r="G15" s="7" t="n"/>
    </row>
    <row r="16">
      <c r="A16" s="8" t="inlineStr">
        <is>
          <t>Impressões</t>
        </is>
      </c>
      <c r="B16" s="13" t="n">
        <v>130000</v>
      </c>
      <c r="C16" s="13" t="n"/>
      <c r="D16" s="13" t="n"/>
      <c r="E16" s="13" t="n"/>
      <c r="F16" s="13" t="n"/>
      <c r="G16" s="10" t="inlineStr">
        <is>
          <t>Quantas vezes a live apareceu</t>
        </is>
      </c>
    </row>
    <row r="17">
      <c r="A17" s="8" t="inlineStr">
        <is>
          <t>Views</t>
        </is>
      </c>
      <c r="B17" s="13" t="n">
        <v>3700</v>
      </c>
      <c r="C17" s="13" t="n"/>
      <c r="D17" s="13" t="n"/>
      <c r="E17" s="13" t="n"/>
      <c r="F17" s="13" t="n"/>
      <c r="G17" s="10" t="inlineStr"/>
    </row>
    <row r="18">
      <c r="A18" s="8" t="inlineStr">
        <is>
          <t>Espectadores únicos</t>
        </is>
      </c>
      <c r="B18" s="13" t="n">
        <v>3200</v>
      </c>
      <c r="C18" s="13" t="n"/>
      <c r="D18" s="13" t="n"/>
      <c r="E18" s="13" t="n"/>
      <c r="F18" s="13" t="n"/>
      <c r="G18" s="10" t="inlineStr"/>
    </row>
    <row r="19">
      <c r="A19" s="8" t="inlineStr">
        <is>
          <t>View rate (Views ÷ Impr.)</t>
        </is>
      </c>
      <c r="B19" s="16">
        <f>IF(B15=0,0,B14/B15)</f>
        <v/>
      </c>
      <c r="C19" s="16">
        <f>IF(C15=0,0,C14/C15)</f>
        <v/>
      </c>
      <c r="D19" s="16">
        <f>IF(D15=0,0,D14/D15)</f>
        <v/>
      </c>
      <c r="E19" s="16">
        <f>IF(E15=0,0,E14/E15)</f>
        <v/>
      </c>
      <c r="F19" s="16">
        <f>IF(F15=0,0,F14/F15)</f>
        <v/>
      </c>
      <c r="G19" s="10" t="inlineStr">
        <is>
          <t>% de quem viu a live entre os alcançados</t>
        </is>
      </c>
    </row>
    <row r="20">
      <c r="A20" s="8" t="inlineStr">
        <is>
          <t>Impressões por hora</t>
        </is>
      </c>
      <c r="B20" s="13" t="n">
        <v>60000</v>
      </c>
      <c r="C20" s="13" t="n"/>
      <c r="D20" s="13" t="n"/>
      <c r="E20" s="13" t="n"/>
      <c r="F20" s="13" t="n"/>
      <c r="G20" s="10" t="inlineStr"/>
    </row>
    <row r="21">
      <c r="A21" s="8" t="inlineStr">
        <is>
          <t>Show GPM (R$/1000 impr.)</t>
        </is>
      </c>
      <c r="B21" s="13" t="n">
        <v>11</v>
      </c>
      <c r="C21" s="13" t="n"/>
      <c r="D21" s="13" t="n"/>
      <c r="E21" s="13" t="n"/>
      <c r="F21" s="13" t="n"/>
      <c r="G21" s="10" t="inlineStr">
        <is>
          <t>GMV por mil impressões. ⚠️ caiu 56% vs anterior</t>
        </is>
      </c>
    </row>
    <row r="22">
      <c r="A22" s="6" t="inlineStr">
        <is>
          <t>RETENÇÃO  ← PRIORIDADE Nº 1</t>
        </is>
      </c>
      <c r="B22" s="7" t="n"/>
      <c r="C22" s="7" t="n"/>
      <c r="D22" s="7" t="n"/>
      <c r="E22" s="7" t="n"/>
      <c r="F22" s="7" t="n"/>
      <c r="G22" s="7" t="n"/>
    </row>
    <row r="23">
      <c r="A23" s="8" t="inlineStr">
        <is>
          <t>Duração média de visualização (s)</t>
        </is>
      </c>
      <c r="B23" s="13" t="n">
        <v>26</v>
      </c>
      <c r="C23" s="13" t="n"/>
      <c r="D23" s="13" t="n"/>
      <c r="E23" s="13" t="n"/>
      <c r="F23" s="13" t="n"/>
      <c r="G23" s="10" t="inlineStr">
        <is>
          <t>⚠️ MUITO baixo. Meta: subir esse número</t>
        </is>
      </c>
    </row>
    <row r="24">
      <c r="A24" s="8" t="inlineStr">
        <is>
          <t>Views &gt; 1 min</t>
        </is>
      </c>
      <c r="B24" s="13" t="n">
        <v>267</v>
      </c>
      <c r="C24" s="13" t="n"/>
      <c r="D24" s="13" t="n"/>
      <c r="E24" s="13" t="n"/>
      <c r="F24" s="13" t="n"/>
      <c r="G24" s="10" t="inlineStr"/>
    </row>
    <row r="25">
      <c r="A25" s="8" t="inlineStr">
        <is>
          <t>Retenção &gt; 1 min (%)</t>
        </is>
      </c>
      <c r="B25" s="16">
        <f>IF(B14=0,0,B22/B14)</f>
        <v/>
      </c>
      <c r="C25" s="16">
        <f>IF(C14=0,0,C22/C14)</f>
        <v/>
      </c>
      <c r="D25" s="16">
        <f>IF(D14=0,0,D22/D14)</f>
        <v/>
      </c>
      <c r="E25" s="16">
        <f>IF(E14=0,0,E22/E14)</f>
        <v/>
      </c>
      <c r="F25" s="16">
        <f>IF(F14=0,0,F22/F14)</f>
        <v/>
      </c>
      <c r="G25" s="10">
        <f> views&gt;1min ÷ Views. Hoje ~7%. Foco de melhoria</f>
        <v/>
      </c>
    </row>
    <row r="26">
      <c r="A26" s="6" t="inlineStr">
        <is>
          <t>ENGAJAMENTO</t>
        </is>
      </c>
      <c r="B26" s="7" t="n"/>
      <c r="C26" s="7" t="n"/>
      <c r="D26" s="7" t="n"/>
      <c r="E26" s="7" t="n"/>
      <c r="F26" s="7" t="n"/>
      <c r="G26" s="7" t="n"/>
    </row>
    <row r="27">
      <c r="A27" s="8" t="inlineStr">
        <is>
          <t>Like rate (%)</t>
        </is>
      </c>
      <c r="B27" s="15" t="n">
        <v>0.9097</v>
      </c>
      <c r="C27" s="15" t="n"/>
      <c r="D27" s="15" t="n"/>
      <c r="E27" s="15" t="n"/>
      <c r="F27" s="15" t="n"/>
      <c r="G27" s="10" t="inlineStr">
        <is>
          <t>Ótimo — quem fica, curte</t>
        </is>
      </c>
    </row>
    <row r="28">
      <c r="A28" s="8" t="inlineStr">
        <is>
          <t>Comment rate (%)</t>
        </is>
      </c>
      <c r="B28" s="15" t="n">
        <v>0.0668</v>
      </c>
      <c r="C28" s="15" t="n"/>
      <c r="D28" s="15" t="n"/>
      <c r="E28" s="15" t="n"/>
      <c r="F28" s="15" t="n"/>
      <c r="G28" s="10" t="inlineStr">
        <is>
          <t>Bom</t>
        </is>
      </c>
    </row>
    <row r="29">
      <c r="A29" s="8" t="inlineStr">
        <is>
          <t>Follow rate (%)</t>
        </is>
      </c>
      <c r="B29" s="15" t="n">
        <v>0.0238</v>
      </c>
      <c r="C29" s="15" t="n"/>
      <c r="D29" s="15" t="n"/>
      <c r="E29" s="15" t="n"/>
      <c r="F29" s="15" t="n"/>
      <c r="G29" s="10" t="inlineStr">
        <is>
          <t>% que passou a seguir</t>
        </is>
      </c>
    </row>
    <row r="30">
      <c r="A30" s="8" t="inlineStr">
        <is>
          <t>Share rate (%)</t>
        </is>
      </c>
      <c r="B30" s="15" t="n">
        <v>0.0013</v>
      </c>
      <c r="C30" s="15" t="n"/>
      <c r="D30" s="15" t="n"/>
      <c r="E30" s="15" t="n"/>
      <c r="F30" s="15" t="n"/>
      <c r="G30" s="10" t="inlineStr">
        <is>
          <t>⚠️ caiu 48%. Pedir compartilhamento ao vivo</t>
        </is>
      </c>
    </row>
    <row r="31">
      <c r="A31" s="8" t="inlineStr">
        <is>
          <t>LIVE CTR (%)</t>
        </is>
      </c>
      <c r="B31" s="15" t="n">
        <v>0.4872</v>
      </c>
      <c r="C31" s="15" t="n"/>
      <c r="D31" s="15" t="n"/>
      <c r="E31" s="15" t="n"/>
      <c r="F31" s="15" t="n"/>
      <c r="G31" s="10" t="inlineStr">
        <is>
          <t>Cliques na live</t>
        </is>
      </c>
    </row>
    <row r="32">
      <c r="A32" s="8" t="inlineStr">
        <is>
          <t>Tap-through rate (%)</t>
        </is>
      </c>
      <c r="B32" s="15" t="n">
        <v>0.0287</v>
      </c>
      <c r="C32" s="15" t="n"/>
      <c r="D32" s="15" t="n"/>
      <c r="E32" s="15" t="n"/>
      <c r="F32" s="15" t="n"/>
      <c r="G32" s="10" t="inlineStr">
        <is>
          <t>⚠️ caiu 74% vs anterior</t>
        </is>
      </c>
    </row>
    <row r="33">
      <c r="A33" s="6" t="inlineStr">
        <is>
          <t>ORIGEM DO GMV</t>
        </is>
      </c>
      <c r="B33" s="7" t="n"/>
      <c r="C33" s="7" t="n"/>
      <c r="D33" s="7" t="n"/>
      <c r="E33" s="7" t="n"/>
      <c r="F33" s="7" t="n"/>
      <c r="G33" s="7" t="n"/>
    </row>
    <row r="34">
      <c r="A34" s="8" t="inlineStr">
        <is>
          <t>% GMV via For You feed</t>
        </is>
      </c>
      <c r="B34" s="15" t="n">
        <v>0.7197</v>
      </c>
      <c r="C34" s="15" t="n"/>
      <c r="D34" s="15" t="n"/>
      <c r="E34" s="15" t="n"/>
      <c r="F34" s="15" t="n"/>
      <c r="G34" s="10" t="inlineStr">
        <is>
          <t>Tráfego FRIO — aquisição de gente nova</t>
        </is>
      </c>
    </row>
    <row r="35">
      <c r="A35" s="8" t="inlineStr">
        <is>
          <t>% GMV via LIVE feed</t>
        </is>
      </c>
      <c r="B35" s="15" t="n">
        <v>0.0872</v>
      </c>
      <c r="C35" s="15" t="n"/>
      <c r="D35" s="15" t="n"/>
      <c r="E35" s="15" t="n"/>
      <c r="F35" s="15" t="n"/>
      <c r="G35" s="10" t="inlineStr"/>
    </row>
    <row r="36">
      <c r="A36" s="8" t="inlineStr">
        <is>
          <t>% GMV de seguidores</t>
        </is>
      </c>
      <c r="B36" s="15" t="n">
        <v>0.735</v>
      </c>
      <c r="C36" s="15" t="n"/>
      <c r="D36" s="15" t="n"/>
      <c r="E36" s="15" t="n"/>
      <c r="F36" s="15" t="n"/>
      <c r="G36" s="10" t="inlineStr">
        <is>
          <t>Base quente</t>
        </is>
      </c>
    </row>
    <row r="37">
      <c r="A37" s="8" t="inlineStr">
        <is>
          <t>% GMV de não-seguidores</t>
        </is>
      </c>
      <c r="B37" s="15" t="n">
        <v>0.265</v>
      </c>
      <c r="C37" s="15" t="n"/>
      <c r="D37" s="15" t="n"/>
      <c r="E37" s="15" t="n"/>
      <c r="F37" s="15" t="n"/>
      <c r="G37" s="10" t="inlineStr">
        <is>
          <t>Gente nova convertendo</t>
        </is>
      </c>
    </row>
    <row r="38">
      <c r="A38" s="6" t="inlineStr">
        <is>
          <t>PÚBLICO (idade)</t>
        </is>
      </c>
      <c r="B38" s="7" t="n"/>
      <c r="C38" s="7" t="n"/>
      <c r="D38" s="7" t="n"/>
      <c r="E38" s="7" t="n"/>
      <c r="F38" s="7" t="n"/>
      <c r="G38" s="7" t="n"/>
    </row>
    <row r="39">
      <c r="A39" s="8" t="inlineStr">
        <is>
          <t>18-24 (%)</t>
        </is>
      </c>
      <c r="B39" s="15" t="n">
        <v>0.2308</v>
      </c>
      <c r="C39" s="15" t="n"/>
      <c r="D39" s="15" t="n"/>
      <c r="E39" s="15" t="n"/>
      <c r="F39" s="15" t="n"/>
      <c r="G39" s="10" t="inlineStr"/>
    </row>
    <row r="40">
      <c r="A40" s="8" t="inlineStr">
        <is>
          <t>25-34 (%)</t>
        </is>
      </c>
      <c r="B40" s="15" t="n">
        <v>0.3846</v>
      </c>
      <c r="C40" s="15" t="n"/>
      <c r="D40" s="15" t="n"/>
      <c r="E40" s="15" t="n"/>
      <c r="F40" s="15" t="n"/>
      <c r="G40" s="10" t="inlineStr">
        <is>
          <t>Grupo dominante</t>
        </is>
      </c>
    </row>
    <row r="41">
      <c r="A41" s="8" t="inlineStr">
        <is>
          <t>&gt;34 (%)</t>
        </is>
      </c>
      <c r="B41" s="15" t="n">
        <v>0.3846</v>
      </c>
      <c r="C41" s="15" t="n"/>
      <c r="D41" s="15" t="n"/>
      <c r="E41" s="15" t="n"/>
      <c r="F41" s="15" t="n"/>
      <c r="G41" s="10" t="inlineStr">
        <is>
          <t>Público mais velho que a persona (24 anos)</t>
        </is>
      </c>
    </row>
    <row r="42">
      <c r="A42" s="6" t="inlineStr">
        <is>
          <t>QUALITATIVO</t>
        </is>
      </c>
      <c r="B42" s="7" t="n"/>
      <c r="C42" s="7" t="n"/>
      <c r="D42" s="7" t="n"/>
      <c r="E42" s="7" t="n"/>
      <c r="F42" s="7" t="n"/>
      <c r="G42" s="7" t="n"/>
    </row>
    <row r="43">
      <c r="A43" s="8" t="inlineStr">
        <is>
          <t>O que funcionou</t>
        </is>
      </c>
      <c r="B43" s="9" t="inlineStr">
        <is>
          <t>Engajamento alto; For You trouxe gente nova</t>
        </is>
      </c>
      <c r="C43" s="9" t="n"/>
      <c r="D43" s="9" t="n"/>
      <c r="E43" s="9" t="n"/>
      <c r="F43" s="9" t="n"/>
      <c r="G43" s="10" t="inlineStr">
        <is>
          <t>Preencher após cada live</t>
        </is>
      </c>
    </row>
    <row r="44">
      <c r="A44" s="8" t="inlineStr">
        <is>
          <t>O que melhorar</t>
        </is>
      </c>
      <c r="B44" s="9" t="inlineStr">
        <is>
          <t>Retenção (26s); ticket médio; empurrar combo 3x2</t>
        </is>
      </c>
      <c r="C44" s="9" t="n"/>
      <c r="D44" s="9" t="n"/>
      <c r="E44" s="9" t="n"/>
      <c r="F44" s="9" t="n"/>
      <c r="G44" s="10" t="inlineStr">
        <is>
          <t>Preencher após cada live</t>
        </is>
      </c>
    </row>
    <row r="45">
      <c r="A45" s="8" t="inlineStr">
        <is>
          <t>Ação para a próxima</t>
        </is>
      </c>
      <c r="B45" s="9" t="inlineStr">
        <is>
          <t>Ganchos a cada poucos min; anunciar drops; pedir share/seguir</t>
        </is>
      </c>
      <c r="C45" s="9" t="n"/>
      <c r="D45" s="9" t="n"/>
      <c r="E45" s="9" t="n"/>
      <c r="F45" s="9" t="n"/>
      <c r="G45" s="10" t="inlineStr">
        <is>
          <t>1-2 ações concretas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2026-07-25T03:22:53Z</dcterms:created>
  <dcterms:modified xsi:type="dcterms:W3CDTF">2026-07-25T03:22:53Z</dcterms:modified>
</cp:coreProperties>
</file>